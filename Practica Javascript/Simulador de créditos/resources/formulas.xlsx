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Cmder\projects\basics-frontend\Practica Javascript\Simulador de créditos\resources\"/>
    </mc:Choice>
  </mc:AlternateContent>
  <xr:revisionPtr revIDLastSave="0" documentId="13_ncr:1_{FDA3EA93-3C82-4EB2-84EC-8C5B668625DE}" xr6:coauthVersionLast="37" xr6:coauthVersionMax="37" xr10:uidLastSave="{00000000-0000-0000-0000-000000000000}"/>
  <bookViews>
    <workbookView xWindow="0" yWindow="0" windowWidth="17490" windowHeight="7980" xr2:uid="{CB1AFF6C-1354-4EAD-BC5E-AD4802EBC889}"/>
  </bookViews>
  <sheets>
    <sheet name="Hoja1" sheetId="1" r:id="rId1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6" i="1" l="1"/>
  <c r="C46" i="1"/>
  <c r="D11" i="1"/>
  <c r="C11" i="1" s="1"/>
  <c r="E11" i="1" s="1"/>
  <c r="E10" i="1"/>
  <c r="C10" i="1"/>
  <c r="B5" i="1"/>
  <c r="D10" i="1"/>
  <c r="E9" i="1"/>
  <c r="D12" i="1" l="1"/>
  <c r="C12" i="1" s="1"/>
  <c r="E12" i="1" s="1"/>
  <c r="D13" i="1" l="1"/>
  <c r="C13" i="1" s="1"/>
  <c r="E13" i="1" s="1"/>
  <c r="D14" i="1" l="1"/>
  <c r="C14" i="1" s="1"/>
  <c r="E14" i="1"/>
  <c r="D15" i="1" l="1"/>
  <c r="C15" i="1" s="1"/>
  <c r="E15" i="1" s="1"/>
  <c r="D16" i="1" l="1"/>
  <c r="C16" i="1" s="1"/>
  <c r="E16" i="1"/>
  <c r="D17" i="1" l="1"/>
  <c r="C17" i="1" s="1"/>
  <c r="E17" i="1" s="1"/>
  <c r="D18" i="1" l="1"/>
  <c r="C18" i="1" s="1"/>
  <c r="E18" i="1" s="1"/>
  <c r="D19" i="1" l="1"/>
  <c r="C19" i="1" s="1"/>
  <c r="E19" i="1" s="1"/>
  <c r="D20" i="1" l="1"/>
  <c r="C20" i="1" s="1"/>
  <c r="E20" i="1" s="1"/>
  <c r="D21" i="1" l="1"/>
  <c r="C21" i="1" s="1"/>
  <c r="E21" i="1" s="1"/>
  <c r="D22" i="1" l="1"/>
  <c r="C22" i="1" s="1"/>
  <c r="E22" i="1" s="1"/>
  <c r="D23" i="1" l="1"/>
  <c r="C23" i="1" s="1"/>
  <c r="E23" i="1"/>
  <c r="D24" i="1" l="1"/>
  <c r="C24" i="1" s="1"/>
  <c r="E24" i="1"/>
  <c r="D25" i="1" l="1"/>
  <c r="C25" i="1" s="1"/>
  <c r="E25" i="1"/>
  <c r="D26" i="1" l="1"/>
  <c r="C26" i="1" s="1"/>
  <c r="E26" i="1"/>
  <c r="D27" i="1" l="1"/>
  <c r="C27" i="1" s="1"/>
  <c r="E27" i="1"/>
  <c r="D28" i="1" l="1"/>
  <c r="C28" i="1" s="1"/>
  <c r="E28" i="1"/>
  <c r="D29" i="1" l="1"/>
  <c r="C29" i="1" s="1"/>
  <c r="E29" i="1"/>
  <c r="D30" i="1" l="1"/>
  <c r="C30" i="1" s="1"/>
  <c r="E30" i="1"/>
  <c r="D31" i="1" l="1"/>
  <c r="C31" i="1" s="1"/>
  <c r="E31" i="1" s="1"/>
  <c r="D32" i="1" l="1"/>
  <c r="C32" i="1" s="1"/>
  <c r="E32" i="1"/>
  <c r="D33" i="1" l="1"/>
  <c r="C33" i="1" s="1"/>
  <c r="E33" i="1"/>
  <c r="D34" i="1" l="1"/>
  <c r="C34" i="1" s="1"/>
  <c r="E34" i="1"/>
  <c r="D35" i="1" l="1"/>
  <c r="C35" i="1" s="1"/>
  <c r="E35" i="1"/>
  <c r="D36" i="1" l="1"/>
  <c r="C36" i="1" s="1"/>
  <c r="E36" i="1"/>
  <c r="D37" i="1" l="1"/>
  <c r="C37" i="1" s="1"/>
  <c r="E37" i="1"/>
  <c r="D38" i="1" l="1"/>
  <c r="C38" i="1" s="1"/>
  <c r="E38" i="1"/>
  <c r="D39" i="1" l="1"/>
  <c r="C39" i="1" s="1"/>
  <c r="E39" i="1"/>
  <c r="D40" i="1" l="1"/>
  <c r="C40" i="1" s="1"/>
  <c r="E40" i="1"/>
  <c r="D41" i="1" l="1"/>
  <c r="C41" i="1" s="1"/>
  <c r="E41" i="1"/>
  <c r="D42" i="1" l="1"/>
  <c r="C42" i="1" s="1"/>
  <c r="E42" i="1"/>
  <c r="D43" i="1" l="1"/>
  <c r="C43" i="1" s="1"/>
  <c r="E43" i="1" s="1"/>
  <c r="D44" i="1" l="1"/>
  <c r="C44" i="1" s="1"/>
  <c r="E44" i="1" s="1"/>
</calcChain>
</file>

<file path=xl/sharedStrings.xml><?xml version="1.0" encoding="utf-8"?>
<sst xmlns="http://schemas.openxmlformats.org/spreadsheetml/2006/main" count="14" uniqueCount="13">
  <si>
    <t>Capital</t>
  </si>
  <si>
    <t>tasa</t>
  </si>
  <si>
    <t>periodos</t>
  </si>
  <si>
    <t>cuota</t>
  </si>
  <si>
    <t>usuario</t>
  </si>
  <si>
    <t>banco</t>
  </si>
  <si>
    <t>resutados</t>
  </si>
  <si>
    <t>periodo</t>
  </si>
  <si>
    <t>abono cap</t>
  </si>
  <si>
    <t>interes</t>
  </si>
  <si>
    <t>salso</t>
  </si>
  <si>
    <t>Cuota = (Monto * (%MV x (1 + %MV) ^ n)) / ((1 + %MV) ^ n) - 1)</t>
  </si>
  <si>
    <t>k*(i*(1+i)^n))/((1+i)^n)-1)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</si>
</sst>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4"/>
      <color rgb="FF8C8C8C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0" fontId="0" fillId="0" borderId="0" xfId="0" applyNumberFormat="1"/>
    <xf numFmtId="4" fontId="0" fillId="0" borderId="0" xfId="0" applyNumberFormat="1"/>
    <xf numFmtId="0" fontId="1" fillId="0" borderId="0" xfId="0" applyFont="1"/>
    <xf numFmtId="4" fontId="0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DFE0F6-9147-492F-8B99-E3803B157B9E}">
  <dimension ref="A1:I46"/>
  <sheetViews>
    <sheetView tabSelected="1" workbookViewId="0">
      <selection activeCell="B6" sqref="B6"/>
    </sheetView>
  </sheetViews>
  <sheetFormatPr baseColWidth="10" defaultRowHeight="15" x14ac:dyDescent="0.25"/>
  <cols>
    <col min="2" max="2" width="21.85546875" customWidth="1"/>
    <col min="3" max="3" width="11.7109375" bestFit="1" customWidth="1"/>
    <col min="5" max="5" width="11.7109375" bestFit="1" customWidth="1"/>
  </cols>
  <sheetData>
    <row r="1" spans="1:9" x14ac:dyDescent="0.25">
      <c r="A1" t="s">
        <v>0</v>
      </c>
      <c r="B1">
        <v>8000000</v>
      </c>
      <c r="C1" t="s">
        <v>4</v>
      </c>
    </row>
    <row r="2" spans="1:9" x14ac:dyDescent="0.25">
      <c r="A2" t="s">
        <v>1</v>
      </c>
      <c r="B2" s="1">
        <v>1.2E-2</v>
      </c>
      <c r="C2" t="s">
        <v>5</v>
      </c>
    </row>
    <row r="3" spans="1:9" x14ac:dyDescent="0.25">
      <c r="A3" t="s">
        <v>2</v>
      </c>
      <c r="B3">
        <v>35</v>
      </c>
      <c r="C3" t="s">
        <v>4</v>
      </c>
    </row>
    <row r="4" spans="1:9" ht="18" x14ac:dyDescent="0.25">
      <c r="H4" s="3" t="s">
        <v>11</v>
      </c>
    </row>
    <row r="5" spans="1:9" x14ac:dyDescent="0.25">
      <c r="A5" t="s">
        <v>3</v>
      </c>
      <c r="B5" s="2">
        <f>+PMT(B2,B3,-B1)</f>
        <v>281270.46750894765</v>
      </c>
      <c r="C5" t="s">
        <v>6</v>
      </c>
    </row>
    <row r="6" spans="1:9" x14ac:dyDescent="0.25">
      <c r="B6" s="4">
        <f>(B1*B2*((1+B2)^B3))/(((1+B2)^B3)-1)</f>
        <v>281270.46750894777</v>
      </c>
    </row>
    <row r="8" spans="1:9" x14ac:dyDescent="0.25">
      <c r="B8" t="s">
        <v>7</v>
      </c>
      <c r="C8" t="s">
        <v>8</v>
      </c>
      <c r="D8" t="s">
        <v>9</v>
      </c>
      <c r="E8" t="s">
        <v>10</v>
      </c>
      <c r="I8" t="s">
        <v>12</v>
      </c>
    </row>
    <row r="9" spans="1:9" x14ac:dyDescent="0.25">
      <c r="B9">
        <v>0</v>
      </c>
      <c r="E9" s="2">
        <f>+B1</f>
        <v>8000000</v>
      </c>
    </row>
    <row r="10" spans="1:9" x14ac:dyDescent="0.25">
      <c r="B10">
        <v>1</v>
      </c>
      <c r="C10" s="2">
        <f>+$B$5-D10</f>
        <v>185270.46750894765</v>
      </c>
      <c r="D10" s="2">
        <f>+E9*$B$2</f>
        <v>96000</v>
      </c>
      <c r="E10" s="2">
        <f>+E9-C10</f>
        <v>7814729.5324910525</v>
      </c>
    </row>
    <row r="11" spans="1:9" x14ac:dyDescent="0.25">
      <c r="B11">
        <v>2</v>
      </c>
      <c r="C11" s="2">
        <f t="shared" ref="C11:C44" si="0">+$B$5-D11</f>
        <v>187493.71311905503</v>
      </c>
      <c r="D11" s="2">
        <f t="shared" ref="D11:D44" si="1">+E10*$B$2</f>
        <v>93776.754389892638</v>
      </c>
      <c r="E11" s="2">
        <f t="shared" ref="E11:E44" si="2">+E10-C11</f>
        <v>7627235.8193719974</v>
      </c>
    </row>
    <row r="12" spans="1:9" x14ac:dyDescent="0.25">
      <c r="B12">
        <v>3</v>
      </c>
      <c r="C12" s="2">
        <f t="shared" si="0"/>
        <v>189743.63767648366</v>
      </c>
      <c r="D12" s="2">
        <f t="shared" si="1"/>
        <v>91526.829832463976</v>
      </c>
      <c r="E12" s="2">
        <f t="shared" si="2"/>
        <v>7437492.1816955134</v>
      </c>
    </row>
    <row r="13" spans="1:9" x14ac:dyDescent="0.25">
      <c r="B13">
        <v>4</v>
      </c>
      <c r="C13" s="2">
        <f t="shared" si="0"/>
        <v>192020.5613286015</v>
      </c>
      <c r="D13" s="2">
        <f t="shared" si="1"/>
        <v>89249.906180346166</v>
      </c>
      <c r="E13" s="2">
        <f t="shared" si="2"/>
        <v>7245471.6203669123</v>
      </c>
    </row>
    <row r="14" spans="1:9" x14ac:dyDescent="0.25">
      <c r="B14">
        <v>5</v>
      </c>
      <c r="C14" s="2">
        <f t="shared" si="0"/>
        <v>194324.80806454469</v>
      </c>
      <c r="D14" s="2">
        <f t="shared" si="1"/>
        <v>86945.659444402947</v>
      </c>
      <c r="E14" s="2">
        <f t="shared" si="2"/>
        <v>7051146.8123023678</v>
      </c>
    </row>
    <row r="15" spans="1:9" x14ac:dyDescent="0.25">
      <c r="B15">
        <v>6</v>
      </c>
      <c r="C15" s="2">
        <f t="shared" si="0"/>
        <v>196656.70576131923</v>
      </c>
      <c r="D15" s="2">
        <f t="shared" si="1"/>
        <v>84613.761747628421</v>
      </c>
      <c r="E15" s="2">
        <f t="shared" si="2"/>
        <v>6854490.1065410487</v>
      </c>
    </row>
    <row r="16" spans="1:9" x14ac:dyDescent="0.25">
      <c r="B16">
        <v>7</v>
      </c>
      <c r="C16" s="2">
        <f t="shared" si="0"/>
        <v>199016.58623045508</v>
      </c>
      <c r="D16" s="2">
        <f t="shared" si="1"/>
        <v>82253.881278492583</v>
      </c>
      <c r="E16" s="2">
        <f t="shared" si="2"/>
        <v>6655473.5203105938</v>
      </c>
    </row>
    <row r="17" spans="2:5" x14ac:dyDescent="0.25">
      <c r="B17">
        <v>8</v>
      </c>
      <c r="C17" s="2">
        <f t="shared" si="0"/>
        <v>201404.7852652205</v>
      </c>
      <c r="D17" s="2">
        <f t="shared" si="1"/>
        <v>79865.682243727133</v>
      </c>
      <c r="E17" s="2">
        <f t="shared" si="2"/>
        <v>6454068.7350453734</v>
      </c>
    </row>
    <row r="18" spans="2:5" x14ac:dyDescent="0.25">
      <c r="B18">
        <v>9</v>
      </c>
      <c r="C18" s="2">
        <f t="shared" si="0"/>
        <v>203821.64268840317</v>
      </c>
      <c r="D18" s="2">
        <f t="shared" si="1"/>
        <v>77448.824820544483</v>
      </c>
      <c r="E18" s="2">
        <f t="shared" si="2"/>
        <v>6250247.0923569705</v>
      </c>
    </row>
    <row r="19" spans="2:5" x14ac:dyDescent="0.25">
      <c r="B19">
        <v>10</v>
      </c>
      <c r="C19" s="2">
        <f t="shared" si="0"/>
        <v>206267.502400664</v>
      </c>
      <c r="D19" s="2">
        <f t="shared" si="1"/>
        <v>75002.96510828365</v>
      </c>
      <c r="E19" s="2">
        <f t="shared" si="2"/>
        <v>6043979.5899563069</v>
      </c>
    </row>
    <row r="20" spans="2:5" x14ac:dyDescent="0.25">
      <c r="B20">
        <v>11</v>
      </c>
      <c r="C20" s="2">
        <f t="shared" si="0"/>
        <v>208742.71242947195</v>
      </c>
      <c r="D20" s="2">
        <f t="shared" si="1"/>
        <v>72527.755079475683</v>
      </c>
      <c r="E20" s="2">
        <f t="shared" si="2"/>
        <v>5835236.8775268346</v>
      </c>
    </row>
    <row r="21" spans="2:5" x14ac:dyDescent="0.25">
      <c r="B21">
        <v>12</v>
      </c>
      <c r="C21" s="2">
        <f t="shared" si="0"/>
        <v>211247.62497862562</v>
      </c>
      <c r="D21" s="2">
        <f t="shared" si="1"/>
        <v>70022.842530322014</v>
      </c>
      <c r="E21" s="2">
        <f t="shared" si="2"/>
        <v>5623989.2525482094</v>
      </c>
    </row>
    <row r="22" spans="2:5" x14ac:dyDescent="0.25">
      <c r="B22">
        <v>13</v>
      </c>
      <c r="C22" s="2">
        <f t="shared" si="0"/>
        <v>213782.59647836915</v>
      </c>
      <c r="D22" s="2">
        <f t="shared" si="1"/>
        <v>67487.871030578521</v>
      </c>
      <c r="E22" s="2">
        <f t="shared" si="2"/>
        <v>5410206.6560698403</v>
      </c>
    </row>
    <row r="23" spans="2:5" x14ac:dyDescent="0.25">
      <c r="B23">
        <v>14</v>
      </c>
      <c r="C23" s="2">
        <f t="shared" si="0"/>
        <v>216347.98763610958</v>
      </c>
      <c r="D23" s="2">
        <f t="shared" si="1"/>
        <v>64922.479872838085</v>
      </c>
      <c r="E23" s="2">
        <f t="shared" si="2"/>
        <v>5193858.6684337305</v>
      </c>
    </row>
    <row r="24" spans="2:5" x14ac:dyDescent="0.25">
      <c r="B24">
        <v>15</v>
      </c>
      <c r="C24" s="2">
        <f t="shared" si="0"/>
        <v>218944.16348774289</v>
      </c>
      <c r="D24" s="2">
        <f t="shared" si="1"/>
        <v>62326.304021204764</v>
      </c>
      <c r="E24" s="2">
        <f t="shared" si="2"/>
        <v>4974914.5049459878</v>
      </c>
    </row>
    <row r="25" spans="2:5" x14ac:dyDescent="0.25">
      <c r="B25">
        <v>16</v>
      </c>
      <c r="C25" s="2">
        <f t="shared" si="0"/>
        <v>221571.49344959579</v>
      </c>
      <c r="D25" s="2">
        <f t="shared" si="1"/>
        <v>59698.974059351858</v>
      </c>
      <c r="E25" s="2">
        <f t="shared" si="2"/>
        <v>4753343.0114963921</v>
      </c>
    </row>
    <row r="26" spans="2:5" x14ac:dyDescent="0.25">
      <c r="B26">
        <v>17</v>
      </c>
      <c r="C26" s="2">
        <f t="shared" si="0"/>
        <v>224230.35137099095</v>
      </c>
      <c r="D26" s="2">
        <f t="shared" si="1"/>
        <v>57040.116137956706</v>
      </c>
      <c r="E26" s="2">
        <f t="shared" si="2"/>
        <v>4529112.6601254009</v>
      </c>
    </row>
    <row r="27" spans="2:5" x14ac:dyDescent="0.25">
      <c r="B27">
        <v>18</v>
      </c>
      <c r="C27" s="2">
        <f t="shared" si="0"/>
        <v>226921.11558744282</v>
      </c>
      <c r="D27" s="2">
        <f t="shared" si="1"/>
        <v>54349.351921504815</v>
      </c>
      <c r="E27" s="2">
        <f t="shared" si="2"/>
        <v>4302191.5445379578</v>
      </c>
    </row>
    <row r="28" spans="2:5" x14ac:dyDescent="0.25">
      <c r="B28">
        <v>19</v>
      </c>
      <c r="C28" s="2">
        <f t="shared" si="0"/>
        <v>229644.16897449218</v>
      </c>
      <c r="D28" s="2">
        <f t="shared" si="1"/>
        <v>51626.298534455491</v>
      </c>
      <c r="E28" s="2">
        <f t="shared" si="2"/>
        <v>4072547.3755634655</v>
      </c>
    </row>
    <row r="29" spans="2:5" x14ac:dyDescent="0.25">
      <c r="B29">
        <v>20</v>
      </c>
      <c r="C29" s="2">
        <f t="shared" si="0"/>
        <v>232399.89900218608</v>
      </c>
      <c r="D29" s="2">
        <f t="shared" si="1"/>
        <v>48870.568506761585</v>
      </c>
      <c r="E29" s="2">
        <f t="shared" si="2"/>
        <v>3840147.4765612795</v>
      </c>
    </row>
    <row r="30" spans="2:5" x14ac:dyDescent="0.25">
      <c r="B30">
        <v>21</v>
      </c>
      <c r="C30" s="2">
        <f t="shared" si="0"/>
        <v>235188.69779021229</v>
      </c>
      <c r="D30" s="2">
        <f t="shared" si="1"/>
        <v>46081.769718735355</v>
      </c>
      <c r="E30" s="2">
        <f t="shared" si="2"/>
        <v>3604958.778771067</v>
      </c>
    </row>
    <row r="31" spans="2:5" x14ac:dyDescent="0.25">
      <c r="B31">
        <v>22</v>
      </c>
      <c r="C31" s="2">
        <f t="shared" si="0"/>
        <v>238010.96216369484</v>
      </c>
      <c r="D31" s="2">
        <f t="shared" si="1"/>
        <v>43259.505345252808</v>
      </c>
      <c r="E31" s="2">
        <f t="shared" si="2"/>
        <v>3366947.8166073724</v>
      </c>
    </row>
    <row r="32" spans="2:5" x14ac:dyDescent="0.25">
      <c r="B32">
        <v>23</v>
      </c>
      <c r="C32" s="2">
        <f t="shared" si="0"/>
        <v>240867.09370965918</v>
      </c>
      <c r="D32" s="2">
        <f t="shared" si="1"/>
        <v>40403.373799288471</v>
      </c>
      <c r="E32" s="2">
        <f t="shared" si="2"/>
        <v>3126080.7228977131</v>
      </c>
    </row>
    <row r="33" spans="2:5" x14ac:dyDescent="0.25">
      <c r="B33">
        <v>24</v>
      </c>
      <c r="C33" s="2">
        <f t="shared" si="0"/>
        <v>243757.49883417509</v>
      </c>
      <c r="D33" s="2">
        <f t="shared" si="1"/>
        <v>37512.968674772557</v>
      </c>
      <c r="E33" s="2">
        <f t="shared" si="2"/>
        <v>2882323.224063538</v>
      </c>
    </row>
    <row r="34" spans="2:5" x14ac:dyDescent="0.25">
      <c r="B34">
        <v>25</v>
      </c>
      <c r="C34" s="2">
        <f t="shared" si="0"/>
        <v>246682.58882018519</v>
      </c>
      <c r="D34" s="2">
        <f t="shared" si="1"/>
        <v>34587.878688762459</v>
      </c>
      <c r="E34" s="2">
        <f t="shared" si="2"/>
        <v>2635640.635243353</v>
      </c>
    </row>
    <row r="35" spans="2:5" x14ac:dyDescent="0.25">
      <c r="B35">
        <v>26</v>
      </c>
      <c r="C35" s="2">
        <f t="shared" si="0"/>
        <v>249642.77988602742</v>
      </c>
      <c r="D35" s="2">
        <f t="shared" si="1"/>
        <v>31627.687622920235</v>
      </c>
      <c r="E35" s="2">
        <f t="shared" si="2"/>
        <v>2385997.8553573256</v>
      </c>
    </row>
    <row r="36" spans="2:5" x14ac:dyDescent="0.25">
      <c r="B36">
        <v>27</v>
      </c>
      <c r="C36" s="2">
        <f t="shared" si="0"/>
        <v>252638.49324465974</v>
      </c>
      <c r="D36" s="2">
        <f t="shared" si="1"/>
        <v>28631.974264287906</v>
      </c>
      <c r="E36" s="2">
        <f t="shared" si="2"/>
        <v>2133359.362112666</v>
      </c>
    </row>
    <row r="37" spans="2:5" x14ac:dyDescent="0.25">
      <c r="B37">
        <v>28</v>
      </c>
      <c r="C37" s="2">
        <f t="shared" si="0"/>
        <v>255670.15516359566</v>
      </c>
      <c r="D37" s="2">
        <f t="shared" si="1"/>
        <v>25600.312345351991</v>
      </c>
      <c r="E37" s="2">
        <f t="shared" si="2"/>
        <v>1877689.2069490703</v>
      </c>
    </row>
    <row r="38" spans="2:5" x14ac:dyDescent="0.25">
      <c r="B38">
        <v>29</v>
      </c>
      <c r="C38" s="2">
        <f t="shared" si="0"/>
        <v>258738.19702555879</v>
      </c>
      <c r="D38" s="2">
        <f t="shared" si="1"/>
        <v>22532.270483388846</v>
      </c>
      <c r="E38" s="2">
        <f t="shared" si="2"/>
        <v>1618951.0099235117</v>
      </c>
    </row>
    <row r="39" spans="2:5" x14ac:dyDescent="0.25">
      <c r="B39">
        <v>30</v>
      </c>
      <c r="C39" s="2">
        <f t="shared" si="0"/>
        <v>261843.05538986551</v>
      </c>
      <c r="D39" s="2">
        <f t="shared" si="1"/>
        <v>19427.412119082139</v>
      </c>
      <c r="E39" s="2">
        <f t="shared" si="2"/>
        <v>1357107.9545336461</v>
      </c>
    </row>
    <row r="40" spans="2:5" x14ac:dyDescent="0.25">
      <c r="B40">
        <v>31</v>
      </c>
      <c r="C40" s="2">
        <f t="shared" si="0"/>
        <v>264985.17205454392</v>
      </c>
      <c r="D40" s="2">
        <f t="shared" si="1"/>
        <v>16285.295454403753</v>
      </c>
      <c r="E40" s="2">
        <f t="shared" si="2"/>
        <v>1092122.7824791023</v>
      </c>
    </row>
    <row r="41" spans="2:5" x14ac:dyDescent="0.25">
      <c r="B41">
        <v>32</v>
      </c>
      <c r="C41" s="2">
        <f t="shared" si="0"/>
        <v>268164.99411919841</v>
      </c>
      <c r="D41" s="2">
        <f t="shared" si="1"/>
        <v>13105.473389749228</v>
      </c>
      <c r="E41" s="2">
        <f t="shared" si="2"/>
        <v>823957.78835990385</v>
      </c>
    </row>
    <row r="42" spans="2:5" x14ac:dyDescent="0.25">
      <c r="B42">
        <v>33</v>
      </c>
      <c r="C42" s="2">
        <f t="shared" si="0"/>
        <v>271382.97404862882</v>
      </c>
      <c r="D42" s="2">
        <f t="shared" si="1"/>
        <v>9887.4934603188467</v>
      </c>
      <c r="E42" s="2">
        <f t="shared" si="2"/>
        <v>552574.81431127503</v>
      </c>
    </row>
    <row r="43" spans="2:5" x14ac:dyDescent="0.25">
      <c r="B43">
        <v>34</v>
      </c>
      <c r="C43" s="2">
        <f t="shared" si="0"/>
        <v>274639.56973721232</v>
      </c>
      <c r="D43" s="2">
        <f t="shared" si="1"/>
        <v>6630.8977717353</v>
      </c>
      <c r="E43" s="2">
        <f t="shared" si="2"/>
        <v>277935.2445740627</v>
      </c>
    </row>
    <row r="44" spans="2:5" x14ac:dyDescent="0.25">
      <c r="B44">
        <v>35</v>
      </c>
      <c r="C44" s="2">
        <f t="shared" si="0"/>
        <v>277935.24457405892</v>
      </c>
      <c r="D44" s="2">
        <f t="shared" si="1"/>
        <v>3335.2229348887527</v>
      </c>
      <c r="E44" s="2">
        <f t="shared" si="2"/>
        <v>3.7834979593753815E-9</v>
      </c>
    </row>
    <row r="46" spans="2:5" x14ac:dyDescent="0.25">
      <c r="C46" s="2">
        <f>SUM(C10:C45)</f>
        <v>7999999.9999999972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SEBASTIAN</dc:creator>
  <cp:lastModifiedBy>SEBASTIAN</cp:lastModifiedBy>
  <dcterms:created xsi:type="dcterms:W3CDTF">2021-11-01T20:36:57Z</dcterms:created>
  <dcterms:modified xsi:type="dcterms:W3CDTF">2021-11-02T00:11:28Z</dcterms:modified>
</cp:coreProperties>
</file>